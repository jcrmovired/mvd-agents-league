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Escritorio\TIR_fraudes_LLM\"/>
    </mc:Choice>
  </mc:AlternateContent>
  <xr:revisionPtr revIDLastSave="0" documentId="13_ncr:1_{0164AF9A-C6D9-4AF2-94C6-BBEF002F46BC}" xr6:coauthVersionLast="47" xr6:coauthVersionMax="47" xr10:uidLastSave="{00000000-0000-0000-0000-000000000000}"/>
  <bookViews>
    <workbookView xWindow="-108" yWindow="-108" windowWidth="23256" windowHeight="12456" activeTab="1" xr2:uid="{3DE93695-9AD5-4880-8E13-24977E026F97}"/>
  </bookViews>
  <sheets>
    <sheet name="Tiempos (s)" sheetId="1" r:id="rId1"/>
    <sheet name="Acier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B7" i="1"/>
  <c r="C7" i="2"/>
  <c r="D7" i="2"/>
  <c r="E7" i="2"/>
  <c r="F7" i="2"/>
  <c r="G7" i="2"/>
  <c r="H7" i="2"/>
  <c r="B7" i="2"/>
  <c r="H6" i="2"/>
  <c r="B6" i="2"/>
  <c r="B5" i="2"/>
  <c r="H5" i="2"/>
  <c r="F6" i="2"/>
  <c r="F4" i="2"/>
  <c r="F3" i="2"/>
  <c r="F2" i="2"/>
  <c r="H4" i="2"/>
  <c r="F5" i="2"/>
  <c r="H3" i="2"/>
  <c r="H2" i="2"/>
  <c r="E6" i="2"/>
  <c r="E5" i="2"/>
  <c r="G6" i="2"/>
  <c r="E4" i="2"/>
  <c r="E3" i="2"/>
  <c r="E2" i="2"/>
  <c r="G5" i="2"/>
  <c r="G4" i="2"/>
  <c r="D4" i="2"/>
  <c r="D3" i="2"/>
  <c r="G3" i="2"/>
  <c r="C6" i="2"/>
  <c r="C5" i="2"/>
  <c r="G2" i="2"/>
  <c r="C2" i="2"/>
  <c r="C4" i="2"/>
  <c r="C3" i="2"/>
  <c r="B4" i="2"/>
  <c r="B2" i="2"/>
  <c r="B3" i="2"/>
</calcChain>
</file>

<file path=xl/sharedStrings.xml><?xml version="1.0" encoding="utf-8"?>
<sst xmlns="http://schemas.openxmlformats.org/spreadsheetml/2006/main" count="45" uniqueCount="22">
  <si>
    <t>Documento</t>
  </si>
  <si>
    <t>Claude Sonnet</t>
  </si>
  <si>
    <t>Formulario 2</t>
  </si>
  <si>
    <t>Denuncia Policía 2</t>
  </si>
  <si>
    <t>Llama4-Maverick</t>
  </si>
  <si>
    <t>Formulario 1</t>
  </si>
  <si>
    <t>Denuncia TIM 1</t>
  </si>
  <si>
    <t>Denuncia Policía 1</t>
  </si>
  <si>
    <t>AWS</t>
  </si>
  <si>
    <t>Azure</t>
  </si>
  <si>
    <t>Local</t>
  </si>
  <si>
    <t>gpt-5-mini</t>
  </si>
  <si>
    <t>gpt-4o</t>
  </si>
  <si>
    <t>Llama3.2vision</t>
  </si>
  <si>
    <t>Qwen2.5</t>
  </si>
  <si>
    <t>Mistal document ai</t>
  </si>
  <si>
    <t>Mistral document ai</t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</si>
  <si>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Da error de forma impredecible</t>
    </r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</si>
  <si>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Funciona mejor con PDF que con PNGs</t>
    </r>
  </si>
  <si>
    <t>Promedio (s)</t>
  </si>
  <si>
    <t>Precio por 1 Millón de tockens</t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</si>
  <si>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Este se puede conseguir en local, pero es pesado (245 GB mínimo, hay de hasta 803GB)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</si>
</sst>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2" xfId="0" applyFill="1" applyBorder="1"/>
    <xf numFmtId="0" fontId="2" fillId="0" borderId="1" xfId="0" applyFont="1" applyFill="1" applyBorder="1"/>
    <xf numFmtId="0" fontId="2" fillId="9" borderId="1" xfId="0" applyFont="1" applyFill="1" applyBorder="1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0" fontId="0" fillId="4" borderId="1" xfId="1" applyNumberFormat="1" applyFont="1" applyFill="1" applyBorder="1" applyAlignment="1">
      <alignment horizontal="center"/>
    </xf>
    <xf numFmtId="10" fontId="0" fillId="6" borderId="1" xfId="1" applyNumberFormat="1" applyFon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10" fontId="0" fillId="8" borderId="1" xfId="1" applyNumberFormat="1" applyFont="1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10" fontId="0" fillId="8" borderId="1" xfId="0" applyNumberForma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165" fontId="0" fillId="8" borderId="0" xfId="0" applyNumberForma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0" borderId="1" xfId="0" applyFont="1" applyBorder="1" applyAlignment="1">
      <alignment wrapText="1"/>
    </xf>
    <xf numFmtId="165" fontId="0" fillId="4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5652-F6FC-430E-913D-4C0AB9BA52DB}">
  <dimension ref="A1:H11"/>
  <sheetViews>
    <sheetView workbookViewId="0">
      <selection activeCell="A7" sqref="A7:H7"/>
    </sheetView>
  </sheetViews>
  <sheetFormatPr defaultRowHeight="14.4" x14ac:dyDescent="0.3"/>
  <cols>
    <col min="1" max="1" width="17.21875" bestFit="1" customWidth="1"/>
    <col min="2" max="2" width="13.33203125" bestFit="1" customWidth="1"/>
    <col min="3" max="3" width="15.6640625" bestFit="1" customWidth="1"/>
  </cols>
  <sheetData>
    <row r="1" spans="1:8" x14ac:dyDescent="0.3">
      <c r="A1" s="1" t="s">
        <v>0</v>
      </c>
      <c r="B1" s="4" t="s">
        <v>1</v>
      </c>
      <c r="C1" s="5" t="s">
        <v>4</v>
      </c>
      <c r="D1" s="5" t="s">
        <v>11</v>
      </c>
      <c r="E1" s="5" t="s">
        <v>12</v>
      </c>
      <c r="F1" s="5" t="s">
        <v>16</v>
      </c>
      <c r="G1" s="7" t="s">
        <v>13</v>
      </c>
      <c r="H1" s="7" t="s">
        <v>14</v>
      </c>
    </row>
    <row r="2" spans="1:8" ht="15" customHeight="1" x14ac:dyDescent="0.3">
      <c r="A2" s="1" t="s">
        <v>5</v>
      </c>
      <c r="B2" s="2">
        <v>13.48</v>
      </c>
      <c r="C2" s="3">
        <v>4.58</v>
      </c>
      <c r="D2" s="3"/>
      <c r="E2" s="3">
        <v>5.61</v>
      </c>
      <c r="F2" s="3">
        <v>2.12</v>
      </c>
      <c r="G2" s="8">
        <v>368.86</v>
      </c>
      <c r="H2" s="8">
        <v>255.04</v>
      </c>
    </row>
    <row r="3" spans="1:8" x14ac:dyDescent="0.3">
      <c r="A3" s="1" t="s">
        <v>6</v>
      </c>
      <c r="B3" s="2">
        <v>3.33</v>
      </c>
      <c r="C3" s="3">
        <v>4.01</v>
      </c>
      <c r="D3" s="3">
        <v>17.68</v>
      </c>
      <c r="E3" s="3">
        <v>5.73</v>
      </c>
      <c r="F3" s="9">
        <v>1.2</v>
      </c>
      <c r="G3" s="8">
        <v>275.02999999999997</v>
      </c>
      <c r="H3" s="8">
        <v>497.51</v>
      </c>
    </row>
    <row r="4" spans="1:8" x14ac:dyDescent="0.3">
      <c r="A4" s="1" t="s">
        <v>7</v>
      </c>
      <c r="B4" s="2">
        <v>13.92</v>
      </c>
      <c r="C4" s="3">
        <v>14.01</v>
      </c>
      <c r="D4" s="3">
        <v>27.86</v>
      </c>
      <c r="E4" s="3">
        <v>11.24</v>
      </c>
      <c r="F4" s="3">
        <v>2.2000000000000002</v>
      </c>
      <c r="G4" s="8">
        <v>516.64</v>
      </c>
      <c r="H4" s="8">
        <v>443.77</v>
      </c>
    </row>
    <row r="5" spans="1:8" x14ac:dyDescent="0.3">
      <c r="A5" s="1" t="s">
        <v>2</v>
      </c>
      <c r="B5" s="2">
        <v>26.79</v>
      </c>
      <c r="C5" s="3">
        <v>8.49</v>
      </c>
      <c r="D5" s="3"/>
      <c r="E5" s="3">
        <v>15.63</v>
      </c>
      <c r="F5" s="3">
        <v>2.69</v>
      </c>
      <c r="G5" s="8">
        <v>283.13</v>
      </c>
      <c r="H5" s="8">
        <v>345.84</v>
      </c>
    </row>
    <row r="6" spans="1:8" x14ac:dyDescent="0.3">
      <c r="A6" s="1" t="s">
        <v>3</v>
      </c>
      <c r="B6" s="2">
        <v>7.45</v>
      </c>
      <c r="C6" s="3">
        <v>8.67</v>
      </c>
      <c r="D6" s="3"/>
      <c r="E6" s="3">
        <v>13.74</v>
      </c>
      <c r="F6" s="3">
        <v>2.5099999999999998</v>
      </c>
      <c r="G6" s="8">
        <v>708.12</v>
      </c>
      <c r="H6" s="8">
        <v>609.1</v>
      </c>
    </row>
    <row r="7" spans="1:8" x14ac:dyDescent="0.3">
      <c r="A7" s="10" t="s">
        <v>19</v>
      </c>
      <c r="B7" s="1">
        <f>AVERAGE(B2:B6)</f>
        <v>12.994</v>
      </c>
      <c r="C7" s="1">
        <f t="shared" ref="C7:H7" si="0">AVERAGE(C2:C6)</f>
        <v>7.9520000000000008</v>
      </c>
      <c r="D7" s="1">
        <f t="shared" si="0"/>
        <v>22.77</v>
      </c>
      <c r="E7" s="1">
        <f t="shared" si="0"/>
        <v>10.39</v>
      </c>
      <c r="F7" s="1">
        <f t="shared" si="0"/>
        <v>2.1440000000000001</v>
      </c>
      <c r="G7" s="1">
        <f t="shared" si="0"/>
        <v>430.35599999999994</v>
      </c>
      <c r="H7" s="1">
        <f t="shared" si="0"/>
        <v>430.25199999999995</v>
      </c>
    </row>
    <row r="9" spans="1:8" x14ac:dyDescent="0.3">
      <c r="A9" s="4" t="s">
        <v>8</v>
      </c>
    </row>
    <row r="10" spans="1:8" x14ac:dyDescent="0.3">
      <c r="A10" s="5" t="s">
        <v>9</v>
      </c>
    </row>
    <row r="11" spans="1:8" x14ac:dyDescent="0.3">
      <c r="A11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D700-F52D-4B74-B679-CF492A2EF2A9}">
  <dimension ref="A1:H14"/>
  <sheetViews>
    <sheetView tabSelected="1" workbookViewId="0">
      <selection activeCell="G14" sqref="A14:G14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15" bestFit="1" customWidth="1"/>
    <col min="4" max="4" width="12.44140625" customWidth="1"/>
    <col min="5" max="5" width="7.109375" bestFit="1" customWidth="1"/>
    <col min="6" max="6" width="16.21875" bestFit="1" customWidth="1"/>
    <col min="7" max="7" width="13.21875" bestFit="1" customWidth="1"/>
    <col min="8" max="8" width="8.33203125" bestFit="1" customWidth="1"/>
  </cols>
  <sheetData>
    <row r="1" spans="1:8" x14ac:dyDescent="0.3">
      <c r="A1" s="1" t="s">
        <v>0</v>
      </c>
      <c r="B1" s="13" t="s">
        <v>1</v>
      </c>
      <c r="C1" s="14" t="s">
        <v>4</v>
      </c>
      <c r="D1" s="14" t="s">
        <v>11</v>
      </c>
      <c r="E1" s="14" t="s">
        <v>12</v>
      </c>
      <c r="F1" s="14" t="s">
        <v>15</v>
      </c>
      <c r="G1" s="15" t="s">
        <v>13</v>
      </c>
      <c r="H1" s="15" t="s">
        <v>14</v>
      </c>
    </row>
    <row r="2" spans="1:8" x14ac:dyDescent="0.3">
      <c r="A2" s="1" t="s">
        <v>5</v>
      </c>
      <c r="B2" s="16">
        <f>174/176</f>
        <v>0.98863636363636365</v>
      </c>
      <c r="C2" s="17">
        <f>170/176</f>
        <v>0.96590909090909094</v>
      </c>
      <c r="D2" s="18"/>
      <c r="E2" s="17">
        <f>173/176</f>
        <v>0.98295454545454541</v>
      </c>
      <c r="F2" s="17">
        <f>165/176</f>
        <v>0.9375</v>
      </c>
      <c r="G2" s="19">
        <f>167/176</f>
        <v>0.94886363636363635</v>
      </c>
      <c r="H2" s="19">
        <f>167/176</f>
        <v>0.94886363636363635</v>
      </c>
    </row>
    <row r="3" spans="1:8" x14ac:dyDescent="0.3">
      <c r="A3" s="1" t="s">
        <v>6</v>
      </c>
      <c r="B3" s="16">
        <f>45/76</f>
        <v>0.59210526315789469</v>
      </c>
      <c r="C3" s="17">
        <f>67/76</f>
        <v>0.88157894736842102</v>
      </c>
      <c r="D3" s="17">
        <f>65/76</f>
        <v>0.85526315789473684</v>
      </c>
      <c r="E3" s="17">
        <f>68/76</f>
        <v>0.89473684210526316</v>
      </c>
      <c r="F3" s="17">
        <f>26/76</f>
        <v>0.34210526315789475</v>
      </c>
      <c r="G3" s="19">
        <f>75/76</f>
        <v>0.98684210526315785</v>
      </c>
      <c r="H3" s="19">
        <f>68/76</f>
        <v>0.89473684210526316</v>
      </c>
    </row>
    <row r="4" spans="1:8" x14ac:dyDescent="0.3">
      <c r="A4" s="1" t="s">
        <v>7</v>
      </c>
      <c r="B4" s="16">
        <f>326/371</f>
        <v>0.87870619946091644</v>
      </c>
      <c r="C4" s="17">
        <f>366/371</f>
        <v>0.98652291105121293</v>
      </c>
      <c r="D4" s="17">
        <f>363/371</f>
        <v>0.97843665768194066</v>
      </c>
      <c r="E4" s="17">
        <f>368/371</f>
        <v>0.99191374663072773</v>
      </c>
      <c r="F4" s="17">
        <f>358/371</f>
        <v>0.96495956873315369</v>
      </c>
      <c r="G4" s="19">
        <f>364/371</f>
        <v>0.98113207547169812</v>
      </c>
      <c r="H4" s="19">
        <f>371/371</f>
        <v>1</v>
      </c>
    </row>
    <row r="5" spans="1:8" x14ac:dyDescent="0.3">
      <c r="A5" s="1" t="s">
        <v>2</v>
      </c>
      <c r="B5" s="20">
        <f>423/427</f>
        <v>0.99063231850117095</v>
      </c>
      <c r="C5" s="17">
        <f>422/427</f>
        <v>0.98829039812646369</v>
      </c>
      <c r="D5" s="18"/>
      <c r="E5" s="17">
        <f>420/427</f>
        <v>0.98360655737704916</v>
      </c>
      <c r="F5" s="17">
        <f>419/427</f>
        <v>0.9812646370023419</v>
      </c>
      <c r="G5" s="19">
        <f>377/427</f>
        <v>0.88290398126463698</v>
      </c>
      <c r="H5" s="19">
        <f>424/427</f>
        <v>0.99297423887587821</v>
      </c>
    </row>
    <row r="6" spans="1:8" x14ac:dyDescent="0.3">
      <c r="A6" s="1" t="s">
        <v>3</v>
      </c>
      <c r="B6" s="20">
        <f>463/514</f>
        <v>0.90077821011673154</v>
      </c>
      <c r="C6" s="17">
        <f>509/514</f>
        <v>0.99027237354085607</v>
      </c>
      <c r="D6" s="18"/>
      <c r="E6" s="17">
        <f>513/514</f>
        <v>0.99805447470817121</v>
      </c>
      <c r="F6" s="17">
        <f>46/514</f>
        <v>8.9494163424124515E-2</v>
      </c>
      <c r="G6" s="19">
        <f>498/514</f>
        <v>0.9688715953307393</v>
      </c>
      <c r="H6" s="21">
        <f>508/514</f>
        <v>0.98832684824902728</v>
      </c>
    </row>
    <row r="7" spans="1:8" x14ac:dyDescent="0.3">
      <c r="A7" s="11" t="s">
        <v>19</v>
      </c>
      <c r="B7" s="22">
        <f>AVERAGE(B2:B6)</f>
        <v>0.87017167097461545</v>
      </c>
      <c r="C7" s="22">
        <f t="shared" ref="C7:H7" si="0">AVERAGE(C2:C6)</f>
        <v>0.9625147441992089</v>
      </c>
      <c r="D7" s="22">
        <f t="shared" si="0"/>
        <v>0.91684990778833875</v>
      </c>
      <c r="E7" s="22">
        <f t="shared" si="0"/>
        <v>0.97025323325515134</v>
      </c>
      <c r="F7" s="22">
        <f t="shared" si="0"/>
        <v>0.66306472646350301</v>
      </c>
      <c r="G7" s="22">
        <f t="shared" si="0"/>
        <v>0.95372267873877359</v>
      </c>
      <c r="H7" s="22">
        <f t="shared" si="0"/>
        <v>0.96498031311876109</v>
      </c>
    </row>
    <row r="8" spans="1:8" ht="89.4" customHeight="1" x14ac:dyDescent="0.3">
      <c r="C8" s="12" t="s">
        <v>21</v>
      </c>
      <c r="D8" s="12" t="s">
        <v>17</v>
      </c>
      <c r="E8" s="12"/>
      <c r="F8" s="12" t="s">
        <v>18</v>
      </c>
    </row>
    <row r="9" spans="1:8" x14ac:dyDescent="0.3">
      <c r="A9" s="4" t="s">
        <v>8</v>
      </c>
    </row>
    <row r="10" spans="1:8" x14ac:dyDescent="0.3">
      <c r="A10" s="5" t="s">
        <v>9</v>
      </c>
    </row>
    <row r="11" spans="1:8" x14ac:dyDescent="0.3">
      <c r="A11" s="6" t="s">
        <v>10</v>
      </c>
    </row>
    <row r="13" spans="1:8" x14ac:dyDescent="0.3">
      <c r="B13" s="24" t="s">
        <v>1</v>
      </c>
      <c r="C13" s="25" t="s">
        <v>4</v>
      </c>
      <c r="D13" s="25" t="s">
        <v>11</v>
      </c>
      <c r="E13" s="25" t="s">
        <v>12</v>
      </c>
      <c r="F13" s="25" t="s">
        <v>15</v>
      </c>
      <c r="G13" s="26" t="s">
        <v>13</v>
      </c>
      <c r="H13" s="15" t="s">
        <v>14</v>
      </c>
    </row>
    <row r="14" spans="1:8" ht="30" customHeight="1" x14ac:dyDescent="0.3">
      <c r="A14" s="27" t="s">
        <v>20</v>
      </c>
      <c r="B14" s="28">
        <v>18</v>
      </c>
      <c r="C14" s="29">
        <v>0.62</v>
      </c>
      <c r="D14" s="29">
        <v>0.69</v>
      </c>
      <c r="E14" s="29">
        <v>4.38</v>
      </c>
      <c r="F14" s="29">
        <v>0.3</v>
      </c>
      <c r="G14" s="30">
        <v>0</v>
      </c>
      <c r="H14" s="2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Tiempos (s)</vt:lpstr>
      <vt:lpstr>Acierto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Capote</dc:creator>
  <cp:lastModifiedBy>Nathaniel Capote</cp:lastModifiedBy>
  <dcterms:created xsi:type="dcterms:W3CDTF">2025-09-24T07:31:45Z</dcterms:created>
  <dcterms:modified xsi:type="dcterms:W3CDTF">2025-09-25T08:21:58Z</dcterms:modified>
</cp:coreProperties>
</file>